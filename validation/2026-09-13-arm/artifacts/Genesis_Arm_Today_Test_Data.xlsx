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31cf186e3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tor Test Dataset" sheetId="1" r:id="Rb240eca1468542a1"/>
    <x:sheet xmlns:r="http://schemas.openxmlformats.org/officeDocument/2006/relationships" name="Raw CSV Style" sheetId="2" r:id="Rbae0880839e0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128be6fae4a3e" /><Relationship Type="http://schemas.openxmlformats.org/officeDocument/2006/relationships/theme" Target="/xl/theme/theme1.xml" Id="R38bfbbf317264b80" /><Relationship Type="http://schemas.openxmlformats.org/officeDocument/2006/relationships/sharedStrings" Target="/xl/sharedStrings.xml" Id="R9bd717e7c2174266" /><Relationship Type="http://schemas.openxmlformats.org/officeDocument/2006/relationships/worksheet" Target="/xl/worksheets/sheet1.xml" Id="Rb240eca1468542a1" /><Relationship Type="http://schemas.openxmlformats.org/officeDocument/2006/relationships/worksheet" Target="/xl/worksheets/sheet2.xml" Id="Rbae0880839e0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30" hidden="0" customWidth="1"/>
    <x:col min="5" max="5" width="20" hidden="0" customWidth="1"/>
    <x:col min="6" max="6" width="22" hidden="0" customWidth="1"/>
    <x:col min="7" max="7" width="42" hidden="0" customWidth="1"/>
    <x:col min="8" max="8" width="18" hidden="0" customWidth="1"/>
    <x:col min="9" max="9" width="21" hidden="0" customWidth="1"/>
    <x:col min="10" max="10" width="21" hidden="0" customWidth="1"/>
    <x:col min="11" max="11" width="19" hidden="0" customWidth="1"/>
    <x:col min="12" max="12" width="19" hidden="0" customWidth="1"/>
    <x:col min="13" max="13" width="14" hidden="0" customWidth="1"/>
    <x:col min="14" max="14" width="52" hidden="0" customWidth="1"/>
  </x:cols>
  <x:sheetData>
    <x:row r="1">
      <x:c r="A1" s="5" t="str">
        <x:v>GENESIS ARM — MOTOR DATA FROM TODAY'S GAZEBO VALIDATION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1" t="str">
        <x:v>Use this table to shortlist motors. Values below are ONLY what was validated today in simulation. Electrical voltage/current input was not measured in Gazebo and is intentionally left as NOT MEASURED.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>
      <x:c r="A4" s="18" t="str">
        <x:v>DOF</x:v>
      </x:c>
      <x:c r="B4" s="18" t="str">
        <x:v>Gazebo controller name</x:v>
      </x:c>
      <x:c r="C4" s="18" t="str">
        <x:v>Test payload (kg)</x:v>
      </x:c>
      <x:c r="D4" s="18" t="str">
        <x:v>Static pose / reach tested</x:v>
      </x:c>
      <x:c r="E4" s="18" t="str">
        <x:v>Torque command cap / input (N·m)</x:v>
      </x:c>
      <x:c r="F4" s="18" t="str">
        <x:v>Validated motor-output torque (N·m)</x:v>
      </x:c>
      <x:c r="G4" s="18" t="str">
        <x:v>Torque validation method</x:v>
      </x:c>
      <x:c r="H4" s="18" t="str">
        <x:v>Velocity cap (rad/s)</x:v>
      </x:c>
      <x:c r="I4" s="18" t="str">
        <x:v>Measured peak speed (rad/s)</x:v>
      </x:c>
      <x:c r="J4" s="18" t="str">
        <x:v>Measured peak speed (RPM)</x:v>
      </x:c>
      <x:c r="K4" s="18" t="str">
        <x:v>Electrical input voltage</x:v>
      </x:c>
      <x:c r="L4" s="18" t="str">
        <x:v>Electrical input current</x:v>
      </x:c>
      <x:c r="M4" s="18" t="str">
        <x:v>Overall result</x:v>
      </x:c>
      <x:c r="N4" s="18" t="str">
        <x:v>Motor-search takeaway</x:v>
      </x:c>
    </x:row>
    <x:row r="5">
      <x:c r="A5" s="26" t="str">
        <x:v>Shoulder Pitch</x:v>
      </x:c>
      <x:c r="B5" s="26" t="str">
        <x:v>base_yaw</x:v>
      </x:c>
      <x:c r="C5" s="28" t="n">
        <x:v>2.5</x:v>
      </x:c>
      <x:c r="D5" s="28" t="str">
        <x:v>90° and 120° loaded reach; clean hold</x:v>
      </x:c>
      <x:c r="E5" s="28" t="n">
        <x:v>55</x:v>
      </x:c>
      <x:c r="F5" s="28" t="n">
        <x:v>55</x:v>
      </x:c>
      <x:c r="G5" s="28" t="str">
        <x:v>Direct joint force/torque sensor saturation</x:v>
      </x:c>
      <x:c r="H5" s="28" t="n">
        <x:v>3</x:v>
      </x:c>
      <x:c r="I5" s="28" t="n">
        <x:v>3</x:v>
      </x:c>
      <x:c r="J5" s="28" t="n">
        <x:f>I5*60/(2*PI())</x:f>
        <x:v>28.64788975654116</x:v>
      </x:c>
      <x:c r="K5" s="26" t="str">
        <x:v>NOT MEASURED</x:v>
      </x:c>
      <x:c r="L5" s="26" t="str">
        <x:v>NOT MEASURED</x:v>
      </x:c>
      <x:c r="M5" s="32" t="str">
        <x:v>PASS</x:v>
      </x:c>
      <x:c r="N5" s="26" t="str">
        <x:v>Find actuator able to deliver at least the validated 55 N·m output at ~28.65 RPM for this simulated load case.</x:v>
      </x:c>
    </x:row>
    <x:row r="6">
      <x:c r="A6" s="26" t="str">
        <x:v>Shoulder Roll</x:v>
      </x:c>
      <x:c r="B6" s="26" t="str">
        <x:v>shoulder_pitch</x:v>
      </x:c>
      <x:c r="C6" s="28" t="n">
        <x:v>2.5</x:v>
      </x:c>
      <x:c r="D6" s="28" t="str">
        <x:v>60° loaded hold</x:v>
      </x:c>
      <x:c r="E6" s="28" t="n">
        <x:v>55</x:v>
      </x:c>
      <x:c r="F6" s="28" t="n">
        <x:v>55</x:v>
      </x:c>
      <x:c r="G6" s="28" t="str">
        <x:v>Direct joint force/torque sensor saturation</x:v>
      </x:c>
      <x:c r="H6" s="28" t="n">
        <x:v>3</x:v>
      </x:c>
      <x:c r="I6" s="28" t="n">
        <x:v>3</x:v>
      </x:c>
      <x:c r="J6" s="28" t="n">
        <x:f>I6*60/(2*PI())</x:f>
        <x:v>28.64788975654116</x:v>
      </x:c>
      <x:c r="K6" s="26" t="str">
        <x:v>NOT MEASURED</x:v>
      </x:c>
      <x:c r="L6" s="26" t="str">
        <x:v>NOT MEASURED</x:v>
      </x:c>
      <x:c r="M6" s="32" t="str">
        <x:v>PASS</x:v>
      </x:c>
      <x:c r="N6" s="26" t="str">
        <x:v>Find actuator able to deliver at least the validated 55 N·m output at ~28.65 RPM for this simulated load case.</x:v>
      </x:c>
    </x:row>
    <x:row r="7">
      <x:c r="A7" s="26" t="str">
        <x:v>Shoulder Yaw</x:v>
      </x:c>
      <x:c r="B7" s="26" t="str">
        <x:v>shoulder_roll</x:v>
      </x:c>
      <x:c r="C7" s="28" t="n">
        <x:v>2.5</x:v>
      </x:c>
      <x:c r="D7" s="28" t="str">
        <x:v>60° loaded hold</x:v>
      </x:c>
      <x:c r="E7" s="28" t="n">
        <x:v>30</x:v>
      </x:c>
      <x:c r="F7" s="28" t="n">
        <x:v>30</x:v>
      </x:c>
      <x:c r="G7" s="28" t="str">
        <x:v>Controller saturation under external opposing wrench; direct FT total-wrench reading intentionally NOT used</x:v>
      </x:c>
      <x:c r="H7" s="28" t="n">
        <x:v>3</x:v>
      </x:c>
      <x:c r="I7" s="28" t="n">
        <x:v>3</x:v>
      </x:c>
      <x:c r="J7" s="28" t="n">
        <x:f>I7*60/(2*PI())</x:f>
        <x:v>28.64788975654116</x:v>
      </x:c>
      <x:c r="K7" s="26" t="str">
        <x:v>NOT MEASURED</x:v>
      </x:c>
      <x:c r="L7" s="26" t="str">
        <x:v>NOT MEASURED</x:v>
      </x:c>
      <x:c r="M7" s="32" t="str">
        <x:v>PASS</x:v>
      </x:c>
      <x:c r="N7" s="26" t="str">
        <x:v>Find actuator able to deliver the validated 30 N·m controller-output ceiling at ~28.65 RPM for this simulated load case.</x:v>
      </x:c>
    </x:row>
    <x:row r="8">
      <x:c r="A8" s="26" t="str">
        <x:v>Elbow Pitch</x:v>
      </x:c>
      <x:c r="B8" s="26" t="str">
        <x:v>elbow_pitch</x:v>
      </x:c>
      <x:c r="C8" s="28" t="n">
        <x:v>2.5</x:v>
      </x:c>
      <x:c r="D8" s="28" t="str">
        <x:v>90° loaded hold</x:v>
      </x:c>
      <x:c r="E8" s="28" t="n">
        <x:v>25</x:v>
      </x:c>
      <x:c r="F8" s="28" t="n">
        <x:v>25</x:v>
      </x:c>
      <x:c r="G8" s="28" t="str">
        <x:v>Direct joint force/torque sensor saturation</x:v>
      </x:c>
      <x:c r="H8" s="28" t="n">
        <x:v>3</x:v>
      </x:c>
      <x:c r="I8" s="28" t="n">
        <x:v>3</x:v>
      </x:c>
      <x:c r="J8" s="28" t="n">
        <x:f>I8*60/(2*PI())</x:f>
        <x:v>28.64788975654116</x:v>
      </x:c>
      <x:c r="K8" s="26" t="str">
        <x:v>NOT MEASURED</x:v>
      </x:c>
      <x:c r="L8" s="26" t="str">
        <x:v>NOT MEASURED</x:v>
      </x:c>
      <x:c r="M8" s="32" t="str">
        <x:v>PASS</x:v>
      </x:c>
      <x:c r="N8" s="26" t="str">
        <x:v>Find actuator able to deliver at least the validated 25 N·m output at ~28.65 RPM for this simulated load case.</x:v>
      </x:c>
    </x:row>
    <x:row r="9">
      <x:c r="A9" s="26" t="str">
        <x:v>Wrist Pitch</x:v>
      </x:c>
      <x:c r="B9" s="26" t="str">
        <x:v>wrist</x:v>
      </x:c>
      <x:c r="C9" s="28" t="n">
        <x:v>2.5</x:v>
      </x:c>
      <x:c r="D9" s="28" t="str">
        <x:v>90° loaded hold</x:v>
      </x:c>
      <x:c r="E9" s="28" t="n">
        <x:v>8</x:v>
      </x:c>
      <x:c r="F9" s="28" t="n">
        <x:v>8</x:v>
      </x:c>
      <x:c r="G9" s="28" t="str">
        <x:v>Direct joint force/torque sensor saturation</x:v>
      </x:c>
      <x:c r="H9" s="28" t="n">
        <x:v>3</x:v>
      </x:c>
      <x:c r="I9" s="28" t="n">
        <x:v>3</x:v>
      </x:c>
      <x:c r="J9" s="28" t="n">
        <x:f>I9*60/(2*PI())</x:f>
        <x:v>28.64788975654116</x:v>
      </x:c>
      <x:c r="K9" s="26" t="str">
        <x:v>NOT MEASURED</x:v>
      </x:c>
      <x:c r="L9" s="26" t="str">
        <x:v>NOT MEASURED</x:v>
      </x:c>
      <x:c r="M9" s="32" t="str">
        <x:v>PASS</x:v>
      </x:c>
      <x:c r="N9" s="26" t="str">
        <x:v>Find actuator / reduction able to deliver at least the validated 8 N·m output at ~28.65 RPM for this simulated load case.</x:v>
      </x:c>
    </x:row>
    <x:row r="10">
      <x:c r="A10" s="26" t="str">
        <x:v>Wrist Roll</x:v>
      </x:c>
      <x:c r="B10" s="26" t="str">
        <x:v>wrist_roll</x:v>
      </x:c>
      <x:c r="C10" s="28" t="n">
        <x:v>2.5</x:v>
      </x:c>
      <x:c r="D10" s="28" t="str">
        <x:v>90° loaded hold / downward-reaching pose</x:v>
      </x:c>
      <x:c r="E10" s="28" t="n">
        <x:v>8</x:v>
      </x:c>
      <x:c r="F10" s="28" t="n">
        <x:v>8</x:v>
      </x:c>
      <x:c r="G10" s="28" t="str">
        <x:v>Direct joint force/torque sensor saturation</x:v>
      </x:c>
      <x:c r="H10" s="28" t="n">
        <x:v>3</x:v>
      </x:c>
      <x:c r="I10" s="28" t="n">
        <x:v>3</x:v>
      </x:c>
      <x:c r="J10" s="28" t="n">
        <x:f>I10*60/(2*PI())</x:f>
        <x:v>28.64788975654116</x:v>
      </x:c>
      <x:c r="K10" s="26" t="str">
        <x:v>NOT MEASURED</x:v>
      </x:c>
      <x:c r="L10" s="26" t="str">
        <x:v>NOT MEASURED</x:v>
      </x:c>
      <x:c r="M10" s="32" t="str">
        <x:v>PASS</x:v>
      </x:c>
      <x:c r="N10" s="26" t="str">
        <x:v>Find actuator / reduction able to deliver at least the validated 8 N·m output at ~28.65 RPM for this simulated load case.</x:v>
      </x:c>
    </x:row>
    <x:row r="12">
      <x:c r="A12" s="24" t="str">
        <x:v>TODAY'S CONSOLIDATED MOTOR-SEARCH ENVELOPE</x:v>
      </x:c>
      <x:c r="B12" s="24"/>
      <x:c r="C12" s="24"/>
      <x:c r="D12" s="24"/>
      <x:c r="E12" s="24"/>
      <x:c r="F12" s="24"/>
      <x:c r="H12" s="24" t="str">
        <x:v>RAW TEST NOTES / CAVEATS</x:v>
      </x:c>
      <x:c r="I12" s="24"/>
      <x:c r="J12" s="24"/>
      <x:c r="K12" s="24"/>
      <x:c r="L12" s="24"/>
      <x:c r="M12" s="24"/>
      <x:c r="N12" s="24"/>
    </x:row>
    <x:row r="13">
      <x:c r="A13" s="16" t="str">
        <x:v>Parameter</x:v>
      </x:c>
      <x:c r="B13" s="16" t="str">
        <x:v>Value</x:v>
      </x:c>
      <x:c r="C13" s="16" t="str">
        <x:v>What it means</x:v>
      </x:c>
      <x:c r="D13" s="26"/>
      <x:c r="E13" s="26"/>
      <x:c r="F13" s="26"/>
      <x:c r="H13" s="16" t="str">
        <x:v>Item</x:v>
      </x:c>
      <x:c r="I13" s="16" t="str">
        <x:v>Result / note</x:v>
      </x:c>
      <x:c r="J13" s="26"/>
      <x:c r="K13" s="26"/>
      <x:c r="L13" s="26"/>
      <x:c r="M13" s="26"/>
      <x:c r="N13" s="26"/>
    </x:row>
    <x:row r="14">
      <x:c r="A14" s="26" t="str">
        <x:v>Arm architecture</x:v>
      </x:c>
      <x:c r="B14" s="26" t="str">
        <x:v>6 DOF / arm</x:v>
      </x:c>
      <x:c r="C14" s="26" t="str">
        <x:v>Pitch, roll, yaw, elbow pitch, wrist pitch, wrist roll</x:v>
      </x:c>
      <x:c r="D14" s="26"/>
      <x:c r="E14" s="26"/>
      <x:c r="F14" s="26"/>
      <x:c r="H14" s="26" t="str">
        <x:v>Velocity</x:v>
      </x:c>
      <x:c r="I14" s="26" t="str">
        <x:v>All 12 revolute joints were measured at ~3.000 rad/s. Some right-side mirrored joints needed the opposite sign command to move.</x:v>
      </x:c>
      <x:c r="J14" s="26"/>
      <x:c r="K14" s="26"/>
      <x:c r="L14" s="26"/>
      <x:c r="M14" s="26"/>
      <x:c r="N14" s="26"/>
    </x:row>
    <x:row r="15">
      <x:c r="A15" s="26" t="str">
        <x:v>Payload tested</x:v>
      </x:c>
      <x:c r="B15" s="26" t="str">
        <x:v>2.5 kg</x:v>
      </x:c>
      <x:c r="C15" s="26" t="str">
        <x:v>Attached to left arm for static load tests</x:v>
      </x:c>
      <x:c r="D15" s="26"/>
      <x:c r="E15" s="26"/>
      <x:c r="F15" s="26"/>
      <x:c r="H15" s="26" t="str">
        <x:v>Shoulder pitch</x:v>
      </x:c>
      <x:c r="I15" s="26" t="str">
        <x:v>Initial 90° reach issue was controller stiffness. P was increased while the 55 N·m torque cap stayed unchanged; 90° and 120° then reached cleanly.</x:v>
      </x:c>
      <x:c r="J15" s="26"/>
      <x:c r="K15" s="26"/>
      <x:c r="L15" s="26"/>
      <x:c r="M15" s="26"/>
      <x:c r="N15" s="26"/>
    </x:row>
    <x:row r="16">
      <x:c r="A16" s="26" t="str">
        <x:v>Validated joint speed</x:v>
      </x:c>
      <x:c r="B16" s="26" t="str">
        <x:v>3.000 rad/s</x:v>
      </x:c>
      <x:c r="C16" s="26" t="str">
        <x:v>Measured peak ceiling on all 12 revolute joints</x:v>
      </x:c>
      <x:c r="D16" s="26"/>
      <x:c r="E16" s="26"/>
      <x:c r="F16" s="26"/>
      <x:c r="H16" s="26" t="str">
        <x:v>Shoulder yaw</x:v>
      </x:c>
      <x:c r="I16" s="26" t="str">
        <x:v>Direct FT sensor showed total transmitted joint wrench and could exceed 30 N·m under external wrench. That value was rejected as actuator torque. Saturation was validated from controller cmd_max under opposing load.</x:v>
      </x:c>
      <x:c r="J16" s="26"/>
      <x:c r="K16" s="26"/>
      <x:c r="L16" s="26"/>
      <x:c r="M16" s="26"/>
      <x:c r="N16" s="26"/>
    </x:row>
    <x:row r="17">
      <x:c r="A17" s="26" t="str">
        <x:v>Validated joint speed</x:v>
      </x:c>
      <x:c r="B17" s="26" t="str">
        <x:v>28.65 RPM</x:v>
      </x:c>
      <x:c r="C17" s="26" t="str">
        <x:v>Same speed converted to RPM</x:v>
      </x:c>
      <x:c r="D17" s="26"/>
      <x:c r="E17" s="26"/>
      <x:c r="F17" s="26"/>
      <x:c r="H17" s="26" t="str">
        <x:v>Hardware meaning</x:v>
      </x:c>
      <x:c r="I17" s="26" t="str">
        <x:v>These are simulation-validated output torque/speed points, not measured motor current, voltage, efficiency, temperature, or continuous hardware endurance.</x:v>
      </x:c>
      <x:c r="J17" s="26"/>
      <x:c r="K17" s="26"/>
      <x:c r="L17" s="26"/>
      <x:c r="M17" s="26"/>
      <x:c r="N17" s="26"/>
    </x:row>
    <x:row r="18">
      <x:c r="A18" s="26" t="str">
        <x:v>Validated torque outputs</x:v>
      </x:c>
      <x:c r="B18" s="26" t="str">
        <x:v>55 / 55 / 30 / 25 / 8 / 8 N·m</x:v>
      </x:c>
      <x:c r="C18" s="26" t="str">
        <x:v>Shoulder pitch / roll / yaw / elbow / wrist pitch / wrist roll</x:v>
      </x:c>
      <x:c r="D18" s="26"/>
      <x:c r="E18" s="26"/>
      <x:c r="F18" s="26"/>
    </x:row>
    <x:row r="19">
      <x:c r="A19" s="26" t="str">
        <x:v>Electrical V / A</x:v>
      </x:c>
      <x:c r="B19" s="26" t="str">
        <x:v>NOT MEASURED</x:v>
      </x:c>
      <x:c r="C19" s="26" t="str">
        <x:v>Must come from candidate motor + driver datasheets and later hardware bench tests</x:v>
      </x:c>
      <x:c r="D19" s="26"/>
      <x:c r="E19" s="26"/>
      <x:c r="F19" s="26"/>
    </x:row>
  </x:sheetData>
  <x:mergeCells>
    <x:mergeCell ref="A1:N1"/>
    <x:mergeCell ref="A2:N2"/>
    <x:mergeCell ref="A12:F12"/>
    <x:mergeCell ref="H12:N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28" hidden="0" customWidth="1"/>
    <x:col min="5" max="5" width="20" hidden="0" customWidth="1"/>
    <x:col min="6" max="6" width="22" hidden="0" customWidth="1"/>
    <x:col min="7" max="7" width="20" hidden="0" customWidth="1"/>
    <x:col min="8" max="8" width="22" hidden="0" customWidth="1"/>
    <x:col min="9" max="9" width="38" hidden="0" customWidth="1"/>
    <x:col min="10" max="10" width="12" hidden="0" customWidth="1"/>
  </x:cols>
  <x:sheetData>
    <x:row r="1">
      <x:c r="A1" s="36" t="str">
        <x:v>DOF</x:v>
      </x:c>
      <x:c r="B1" s="36" t="str">
        <x:v>payload_kg</x:v>
      </x:c>
      <x:c r="C1" s="36" t="str">
        <x:v>torque_input_cap_Nm</x:v>
      </x:c>
      <x:c r="D1" s="36" t="str">
        <x:v>validated_output_torque_Nm</x:v>
      </x:c>
      <x:c r="E1" s="36" t="str">
        <x:v>velocity_cap_rad_s</x:v>
      </x:c>
      <x:c r="F1" s="36" t="str">
        <x:v>measured_peak_rad_s</x:v>
      </x:c>
      <x:c r="G1" s="36" t="str">
        <x:v>measured_peak_rpm</x:v>
      </x:c>
      <x:c r="H1" s="36" t="str">
        <x:v>static_pose_tested_deg</x:v>
      </x:c>
      <x:c r="I1" s="36" t="str">
        <x:v>torque_validation</x:v>
      </x:c>
      <x:c r="J1" s="36" t="str">
        <x:v>result</x:v>
      </x:c>
    </x:row>
    <x:row r="2">
      <x:c r="A2" s="26" t="str">
        <x:v>shoulder_pitch</x:v>
      </x:c>
      <x:c r="B2" s="28" t="n">
        <x:v>2.5</x:v>
      </x:c>
      <x:c r="C2" s="28" t="n">
        <x:v>55</x:v>
      </x:c>
      <x:c r="D2" s="28" t="n">
        <x:v>55</x:v>
      </x:c>
      <x:c r="E2" s="28" t="n">
        <x:v>3</x:v>
      </x:c>
      <x:c r="F2" s="28" t="n">
        <x:v>3</x:v>
      </x:c>
      <x:c r="G2" s="28" t="n">
        <x:f>F2*60/(2*PI())</x:f>
        <x:v>28.64788975654116</x:v>
      </x:c>
      <x:c r="H2" s="26" t="str">
        <x:v>90;120</x:v>
      </x:c>
      <x:c r="I2" s="26" t="str">
        <x:v>FT_sensor_direct</x:v>
      </x:c>
      <x:c r="J2" s="26" t="str">
        <x:v>PASS</x:v>
      </x:c>
    </x:row>
    <x:row r="3">
      <x:c r="A3" s="26" t="str">
        <x:v>shoulder_roll</x:v>
      </x:c>
      <x:c r="B3" s="28" t="n">
        <x:v>2.5</x:v>
      </x:c>
      <x:c r="C3" s="28" t="n">
        <x:v>55</x:v>
      </x:c>
      <x:c r="D3" s="28" t="n">
        <x:v>55</x:v>
      </x:c>
      <x:c r="E3" s="28" t="n">
        <x:v>3</x:v>
      </x:c>
      <x:c r="F3" s="28" t="n">
        <x:v>3</x:v>
      </x:c>
      <x:c r="G3" s="28" t="n">
        <x:f>F3*60/(2*PI())</x:f>
        <x:v>28.64788975654116</x:v>
      </x:c>
      <x:c r="H3" s="26" t="str">
        <x:v>60</x:v>
      </x:c>
      <x:c r="I3" s="26" t="str">
        <x:v>FT_sensor_direct</x:v>
      </x:c>
      <x:c r="J3" s="26" t="str">
        <x:v>PASS</x:v>
      </x:c>
    </x:row>
    <x:row r="4">
      <x:c r="A4" s="26" t="str">
        <x:v>shoulder_yaw</x:v>
      </x:c>
      <x:c r="B4" s="28" t="n">
        <x:v>2.5</x:v>
      </x:c>
      <x:c r="C4" s="28" t="n">
        <x:v>30</x:v>
      </x:c>
      <x:c r="D4" s="28" t="n">
        <x:v>30</x:v>
      </x:c>
      <x:c r="E4" s="28" t="n">
        <x:v>3</x:v>
      </x:c>
      <x:c r="F4" s="28" t="n">
        <x:v>3</x:v>
      </x:c>
      <x:c r="G4" s="28" t="n">
        <x:f>F4*60/(2*PI())</x:f>
        <x:v>28.64788975654116</x:v>
      </x:c>
      <x:c r="H4" s="26" t="str">
        <x:v>60</x:v>
      </x:c>
      <x:c r="I4" s="26" t="str">
        <x:v>controller_saturation_external_load</x:v>
      </x:c>
      <x:c r="J4" s="26" t="str">
        <x:v>PASS</x:v>
      </x:c>
    </x:row>
    <x:row r="5">
      <x:c r="A5" s="26" t="str">
        <x:v>elbow_pitch</x:v>
      </x:c>
      <x:c r="B5" s="28" t="n">
        <x:v>2.5</x:v>
      </x:c>
      <x:c r="C5" s="28" t="n">
        <x:v>25</x:v>
      </x:c>
      <x:c r="D5" s="28" t="n">
        <x:v>25</x:v>
      </x:c>
      <x:c r="E5" s="28" t="n">
        <x:v>3</x:v>
      </x:c>
      <x:c r="F5" s="28" t="n">
        <x:v>3</x:v>
      </x:c>
      <x:c r="G5" s="28" t="n">
        <x:f>F5*60/(2*PI())</x:f>
        <x:v>28.64788975654116</x:v>
      </x:c>
      <x:c r="H5" s="26" t="str">
        <x:v>90</x:v>
      </x:c>
      <x:c r="I5" s="26" t="str">
        <x:v>FT_sensor_direct</x:v>
      </x:c>
      <x:c r="J5" s="26" t="str">
        <x:v>PASS</x:v>
      </x:c>
    </x:row>
    <x:row r="6">
      <x:c r="A6" s="26" t="str">
        <x:v>wrist_pitch</x:v>
      </x:c>
      <x:c r="B6" s="28" t="n">
        <x:v>2.5</x:v>
      </x:c>
      <x:c r="C6" s="28" t="n">
        <x:v>8</x:v>
      </x:c>
      <x:c r="D6" s="28" t="n">
        <x:v>8</x:v>
      </x:c>
      <x:c r="E6" s="28" t="n">
        <x:v>3</x:v>
      </x:c>
      <x:c r="F6" s="28" t="n">
        <x:v>3</x:v>
      </x:c>
      <x:c r="G6" s="28" t="n">
        <x:f>F6*60/(2*PI())</x:f>
        <x:v>28.64788975654116</x:v>
      </x:c>
      <x:c r="H6" s="26" t="str">
        <x:v>90</x:v>
      </x:c>
      <x:c r="I6" s="26" t="str">
        <x:v>FT_sensor_direct</x:v>
      </x:c>
      <x:c r="J6" s="26" t="str">
        <x:v>PASS</x:v>
      </x:c>
    </x:row>
    <x:row r="7">
      <x:c r="A7" s="26" t="str">
        <x:v>wrist_roll</x:v>
      </x:c>
      <x:c r="B7" s="28" t="n">
        <x:v>2.5</x:v>
      </x:c>
      <x:c r="C7" s="28" t="n">
        <x:v>8</x:v>
      </x:c>
      <x:c r="D7" s="28" t="n">
        <x:v>8</x:v>
      </x:c>
      <x:c r="E7" s="28" t="n">
        <x:v>3</x:v>
      </x:c>
      <x:c r="F7" s="28" t="n">
        <x:v>3</x:v>
      </x:c>
      <x:c r="G7" s="28" t="n">
        <x:f>F7*60/(2*PI())</x:f>
        <x:v>28.64788975654116</x:v>
      </x:c>
      <x:c r="H7" s="26" t="str">
        <x:v>90</x:v>
      </x:c>
      <x:c r="I7" s="26" t="str">
        <x:v>FT_sensor_direct</x:v>
      </x:c>
      <x:c r="J7" s="26" t="str">
        <x:v>PASS</x:v>
      </x:c>
    </x:row>
  </x:sheetData>
  <x:pageMargins left="0.7" right="0.7" top="0.75" bottom="0.75" header="0.3" footer="0.3"/>
</x:worksheet>
</file>